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96" yWindow="144" windowWidth="16260" windowHeight="5592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4525"/>
</workbook>
</file>

<file path=xl/calcChain.xml><?xml version="1.0" encoding="utf-8"?>
<calcChain xmlns="http://schemas.openxmlformats.org/spreadsheetml/2006/main">
  <c r="C1" i="7" l="1"/>
  <c r="J5" i="6" l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4" i="6"/>
  <c r="D4" i="1" l="1"/>
  <c r="C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<sst xmlns="http://schemas.openxmlformats.org/spreadsheetml/2006/main" count="353" uniqueCount="213">
  <si>
    <t>SALES DATA</t>
  </si>
  <si>
    <t xml:space="preserve">TOTAL DELIVERIES  </t>
  </si>
  <si>
    <t>RANK</t>
  </si>
  <si>
    <t>COUNTRY</t>
  </si>
  <si>
    <t>SALES</t>
  </si>
  <si>
    <t>SALES(%)</t>
  </si>
  <si>
    <t>UNITED STATES</t>
  </si>
  <si>
    <t>UNITED KINGDOM</t>
  </si>
  <si>
    <t>SWITZERLAND</t>
  </si>
  <si>
    <t>SWEDEN</t>
  </si>
  <si>
    <t>NORWAY</t>
  </si>
  <si>
    <t>NETHERLANDS</t>
  </si>
  <si>
    <t>ITALY</t>
  </si>
  <si>
    <t>GERMANY</t>
  </si>
  <si>
    <t>FRANCE</t>
  </si>
  <si>
    <t>CANADA</t>
  </si>
  <si>
    <t>BELGIUM</t>
  </si>
  <si>
    <t>AUSTRIA</t>
  </si>
  <si>
    <t>AUSTRALIA</t>
  </si>
  <si>
    <t>CHINA</t>
  </si>
  <si>
    <t>YEAR</t>
  </si>
  <si>
    <t>AFGANISTAN</t>
  </si>
  <si>
    <t>INDIA</t>
  </si>
  <si>
    <t>PAKISTAN</t>
  </si>
  <si>
    <t>CHILE</t>
  </si>
  <si>
    <t xml:space="preserve">PRODUCT ID  </t>
  </si>
  <si>
    <t>ORDER ID</t>
  </si>
  <si>
    <t>SHIP MODE</t>
  </si>
  <si>
    <t>P001</t>
  </si>
  <si>
    <t>OR-01</t>
  </si>
  <si>
    <t>SAME DAY</t>
  </si>
  <si>
    <t>P002</t>
  </si>
  <si>
    <t>OR-02</t>
  </si>
  <si>
    <t>SECOND CLASS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</si>
  <si>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</si>
  <si>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</si>
  <si>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</si>
  <si>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</si>
  <si>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</si>
  <si>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</si>
  <si>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</si>
  <si>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</si>
  <si>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</si>
  <si>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OR-03</t>
  </si>
  <si>
    <t>OR-04</t>
  </si>
  <si>
    <t>OR-05</t>
  </si>
  <si>
    <t>OR-06</t>
  </si>
  <si>
    <t>OR-07</t>
  </si>
  <si>
    <t>OR-08</t>
  </si>
  <si>
    <t>OR-09</t>
  </si>
  <si>
    <t>OR-10</t>
  </si>
  <si>
    <t>OR-11</t>
  </si>
  <si>
    <t>FIRST CLASS</t>
  </si>
  <si>
    <t>USA</t>
  </si>
  <si>
    <t>SENEGAL</t>
  </si>
  <si>
    <t>NEWZELAND</t>
  </si>
  <si>
    <t>SHIP</t>
  </si>
  <si>
    <t>FIRST CALSS</t>
  </si>
  <si>
    <t>STANDARD CLASS</t>
  </si>
  <si>
    <t>UKRAINE</t>
  </si>
  <si>
    <t>GREENLAND</t>
  </si>
  <si>
    <t>BRAZIL</t>
  </si>
  <si>
    <t xml:space="preserve">COUNTRY </t>
  </si>
  <si>
    <t xml:space="preserve">VEGETABLES </t>
  </si>
  <si>
    <t>FRUITES</t>
  </si>
  <si>
    <t>STATIONARIES</t>
  </si>
  <si>
    <t>ARTS</t>
  </si>
  <si>
    <t>FURNITURES</t>
  </si>
  <si>
    <t>OIL</t>
  </si>
  <si>
    <t>MACHINARIES</t>
  </si>
  <si>
    <t>SPICES</t>
  </si>
  <si>
    <t>MEATS</t>
  </si>
  <si>
    <t>FASHION</t>
  </si>
  <si>
    <t>JAPAN</t>
  </si>
  <si>
    <t>RUSSIA</t>
  </si>
  <si>
    <t>SRILANKA</t>
  </si>
  <si>
    <t>UK</t>
  </si>
  <si>
    <t>SOUTH AFRICA</t>
  </si>
  <si>
    <t>THAILAND</t>
  </si>
  <si>
    <t>SK SOLUTIONS CORPERAT</t>
  </si>
  <si>
    <t>EMPLOYEE NO</t>
  </si>
  <si>
    <t>EMPLOYEE NAME</t>
  </si>
  <si>
    <t>GENDER</t>
  </si>
  <si>
    <t>AGE</t>
  </si>
  <si>
    <t>BLOOD GROUP</t>
  </si>
  <si>
    <t>EMAIL ADDRESS</t>
  </si>
  <si>
    <t>DEPARTMENT</t>
  </si>
  <si>
    <t>EXPERIENCE</t>
  </si>
  <si>
    <t>SALERY PER MONTH</t>
  </si>
  <si>
    <t>ANNUAL SALERY</t>
  </si>
  <si>
    <t>abdul D</t>
  </si>
  <si>
    <t>adhas S</t>
  </si>
  <si>
    <t>arivu A</t>
  </si>
  <si>
    <t>arun S</t>
  </si>
  <si>
    <t>andu L</t>
  </si>
  <si>
    <t>adhe H</t>
  </si>
  <si>
    <t>arsh C</t>
  </si>
  <si>
    <t>avena B</t>
  </si>
  <si>
    <t>bala E</t>
  </si>
  <si>
    <t>babu D</t>
  </si>
  <si>
    <t>brindha T</t>
  </si>
  <si>
    <t>basker R</t>
  </si>
  <si>
    <t>barma S</t>
  </si>
  <si>
    <t>chanthran D</t>
  </si>
  <si>
    <t>chantra J</t>
  </si>
  <si>
    <t>charle D</t>
  </si>
  <si>
    <t>dhanesh N</t>
  </si>
  <si>
    <t>dewaker M</t>
  </si>
  <si>
    <t>david V</t>
  </si>
  <si>
    <t>dhaya S</t>
  </si>
  <si>
    <t>male</t>
  </si>
  <si>
    <t>female</t>
  </si>
  <si>
    <t>a+</t>
  </si>
  <si>
    <t>b+</t>
  </si>
  <si>
    <t>ab+</t>
  </si>
  <si>
    <t>b-</t>
  </si>
  <si>
    <t>ab-</t>
  </si>
  <si>
    <t>o</t>
  </si>
  <si>
    <t>o+</t>
  </si>
  <si>
    <t>o-</t>
  </si>
  <si>
    <t>a-</t>
  </si>
  <si>
    <t>ab</t>
  </si>
  <si>
    <t>abduld@gmail.com</t>
  </si>
  <si>
    <t>adhass@gmail.com</t>
  </si>
  <si>
    <t>aruns@gmail.com</t>
  </si>
  <si>
    <t>arivua@gmail.com</t>
  </si>
  <si>
    <t>andul@gmail.com</t>
  </si>
  <si>
    <t>adheh@gmail.com</t>
  </si>
  <si>
    <t>arshc@gmail.com</t>
  </si>
  <si>
    <t>avenab@gmail.com</t>
  </si>
  <si>
    <t>balae@gmail.com</t>
  </si>
  <si>
    <t>babud@gmail.com</t>
  </si>
  <si>
    <t>brindhat@gmail.com</t>
  </si>
  <si>
    <t>baskerr@gmail.com</t>
  </si>
  <si>
    <t>barmas@gmail.com</t>
  </si>
  <si>
    <t>chanthrand@gmail.com</t>
  </si>
  <si>
    <t>chantraj@gmail.com</t>
  </si>
  <si>
    <t>charled@gmail.com</t>
  </si>
  <si>
    <t>dhaneshn@gmail.com</t>
  </si>
  <si>
    <t>dewakerm@gmail.com</t>
  </si>
  <si>
    <t>davidv@gmail.com</t>
  </si>
  <si>
    <t>dhayas@gmail.com</t>
  </si>
  <si>
    <t>marketing</t>
  </si>
  <si>
    <t>sales</t>
  </si>
  <si>
    <t>design</t>
  </si>
  <si>
    <t>requirement</t>
  </si>
  <si>
    <t>testing</t>
  </si>
  <si>
    <t>development</t>
  </si>
  <si>
    <t>management</t>
  </si>
  <si>
    <t>fesibility</t>
  </si>
  <si>
    <t>ORDER DATE</t>
  </si>
  <si>
    <t xml:space="preserve">SHIP DATE </t>
  </si>
  <si>
    <t>CATEGORY</t>
  </si>
  <si>
    <t>SUB-CATEGORY</t>
  </si>
  <si>
    <t>QUANTITY</t>
  </si>
  <si>
    <t>PROFIT</t>
  </si>
  <si>
    <t>SHIPPING COST</t>
  </si>
  <si>
    <t>ORDER PRIORITY</t>
  </si>
  <si>
    <t>31-07-2012</t>
  </si>
  <si>
    <t xml:space="preserve"> 17-10-2017</t>
  </si>
  <si>
    <t>28-01-2013</t>
  </si>
  <si>
    <t>14-04-2012</t>
  </si>
  <si>
    <t>14/10/2014</t>
  </si>
  <si>
    <t>20-01-2012</t>
  </si>
  <si>
    <t>SEGMENT</t>
  </si>
  <si>
    <t>CITY</t>
  </si>
  <si>
    <t>STATE</t>
  </si>
  <si>
    <t>PRODUCT ID</t>
  </si>
  <si>
    <t>05-02-2013</t>
  </si>
  <si>
    <t>28-06-2013</t>
  </si>
  <si>
    <t>18-10-2013</t>
  </si>
  <si>
    <t>30-01-2013</t>
  </si>
  <si>
    <t>18-04-2012</t>
  </si>
  <si>
    <t>21-10-2014</t>
  </si>
  <si>
    <t>31-01-2010</t>
  </si>
  <si>
    <t>Rich Hansen</t>
  </si>
  <si>
    <t>Justin Ritter</t>
  </si>
  <si>
    <t>Craig Reiter</t>
  </si>
  <si>
    <t>07-11-2013</t>
  </si>
  <si>
    <t>Katherine</t>
  </si>
  <si>
    <t>Rick hansen</t>
  </si>
  <si>
    <t>Jim Mitchum</t>
  </si>
  <si>
    <t>Toby Swindell</t>
  </si>
  <si>
    <t>Mick Brown</t>
  </si>
  <si>
    <t>Jane Waco</t>
  </si>
  <si>
    <t>Joseph Holt</t>
  </si>
  <si>
    <t>Consumer</t>
  </si>
  <si>
    <t>Corporate</t>
  </si>
  <si>
    <t>Home Office</t>
  </si>
  <si>
    <t>New York</t>
  </si>
  <si>
    <t>Wollongong</t>
  </si>
  <si>
    <t>Brisbane</t>
  </si>
  <si>
    <t>Berlin</t>
  </si>
  <si>
    <t>Dakar</t>
  </si>
  <si>
    <t>New South</t>
  </si>
  <si>
    <t>Wellington</t>
  </si>
  <si>
    <t>Waikato</t>
  </si>
  <si>
    <t>California</t>
  </si>
  <si>
    <t>Queensland</t>
  </si>
  <si>
    <t>Sydney</t>
  </si>
  <si>
    <t>Porirua</t>
  </si>
  <si>
    <t>Hamilton</t>
  </si>
  <si>
    <t>Sacramento</t>
  </si>
  <si>
    <t>Concord</t>
  </si>
  <si>
    <t>North Carolina</t>
  </si>
  <si>
    <t>United States</t>
  </si>
  <si>
    <t>Australia</t>
  </si>
  <si>
    <t>Germany</t>
  </si>
  <si>
    <t>Sengal</t>
  </si>
  <si>
    <t>Newzeland</t>
  </si>
  <si>
    <t>Technology</t>
  </si>
  <si>
    <t>Furniture</t>
  </si>
  <si>
    <t>Employee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</si>
</sst>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Sheet1!$B$4:$B$18</c:f>
              <c:strCache>
                <c:ptCount val="15"/>
                <c:pt idx="0">
                  <c:v>UNITED STATES</c:v>
                </c:pt>
                <c:pt idx="1">
                  <c:v>UNITED KINGDOM</c:v>
                </c:pt>
                <c:pt idx="2">
                  <c:v>SWITZERLAND</c:v>
                </c:pt>
                <c:pt idx="3">
                  <c:v>SWEDEN</c:v>
                </c:pt>
                <c:pt idx="4">
                  <c:v>NORWAY</c:v>
                </c:pt>
                <c:pt idx="5">
                  <c:v>NETHERLANDS</c:v>
                </c:pt>
                <c:pt idx="6">
                  <c:v>ITALY</c:v>
                </c:pt>
                <c:pt idx="7">
                  <c:v>GERMANY</c:v>
                </c:pt>
                <c:pt idx="8">
                  <c:v>FRANCE</c:v>
                </c:pt>
                <c:pt idx="9">
                  <c:v>CANADA</c:v>
                </c:pt>
                <c:pt idx="10">
                  <c:v>BELGIUM</c:v>
                </c:pt>
                <c:pt idx="11">
                  <c:v>BELGIUM</c:v>
                </c:pt>
                <c:pt idx="12">
                  <c:v>AUSTRIA</c:v>
                </c:pt>
                <c:pt idx="13">
                  <c:v>AUSTRALIA</c:v>
                </c:pt>
                <c:pt idx="14">
                  <c:v>CHINA</c:v>
                </c:pt>
              </c:strCache>
            </c:strRef>
          </c:cat>
          <c:val>
            <c:numRef>
              <c:f>Sheet1!$C$4:$C$18</c:f>
              <c:numCache>
                <c:formatCode>"$"#,##0_);[Red]\("$"#,##0\)</c:formatCode>
                <c:ptCount val="15"/>
                <c:pt idx="0">
                  <c:v>50145</c:v>
                </c:pt>
                <c:pt idx="1">
                  <c:v>4756</c:v>
                </c:pt>
                <c:pt idx="2">
                  <c:v>2024</c:v>
                </c:pt>
                <c:pt idx="3">
                  <c:v>1283</c:v>
                </c:pt>
                <c:pt idx="4">
                  <c:v>8473</c:v>
                </c:pt>
                <c:pt idx="5">
                  <c:v>3316</c:v>
                </c:pt>
                <c:pt idx="6">
                  <c:v>905</c:v>
                </c:pt>
                <c:pt idx="7">
                  <c:v>3331</c:v>
                </c:pt>
                <c:pt idx="8">
                  <c:v>1368</c:v>
                </c:pt>
                <c:pt idx="9">
                  <c:v>3478</c:v>
                </c:pt>
                <c:pt idx="10">
                  <c:v>1151</c:v>
                </c:pt>
                <c:pt idx="11">
                  <c:v>1151</c:v>
                </c:pt>
                <c:pt idx="12">
                  <c:v>480</c:v>
                </c:pt>
                <c:pt idx="13">
                  <c:v>1060</c:v>
                </c:pt>
                <c:pt idx="14">
                  <c:v>16500</c:v>
                </c:pt>
              </c:numCache>
            </c:numRef>
          </c:val>
        </c:ser>
        <c:ser>
          <c:idx val="1"/>
          <c:order val="1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Sheet1!$B$4:$B$18</c:f>
              <c:strCache>
                <c:ptCount val="15"/>
                <c:pt idx="0">
                  <c:v>UNITED STATES</c:v>
                </c:pt>
                <c:pt idx="1">
                  <c:v>UNITED KINGDOM</c:v>
                </c:pt>
                <c:pt idx="2">
                  <c:v>SWITZERLAND</c:v>
                </c:pt>
                <c:pt idx="3">
                  <c:v>SWEDEN</c:v>
                </c:pt>
                <c:pt idx="4">
                  <c:v>NORWAY</c:v>
                </c:pt>
                <c:pt idx="5">
                  <c:v>NETHERLANDS</c:v>
                </c:pt>
                <c:pt idx="6">
                  <c:v>ITALY</c:v>
                </c:pt>
                <c:pt idx="7">
                  <c:v>GERMANY</c:v>
                </c:pt>
                <c:pt idx="8">
                  <c:v>FRANCE</c:v>
                </c:pt>
                <c:pt idx="9">
                  <c:v>CANADA</c:v>
                </c:pt>
                <c:pt idx="10">
                  <c:v>BELGIUM</c:v>
                </c:pt>
                <c:pt idx="11">
                  <c:v>BELGIUM</c:v>
                </c:pt>
                <c:pt idx="12">
                  <c:v>AUSTRIA</c:v>
                </c:pt>
                <c:pt idx="13">
                  <c:v>AUSTRALIA</c:v>
                </c:pt>
                <c:pt idx="14">
                  <c:v>CHINA</c:v>
                </c:pt>
              </c:strCache>
            </c:strRef>
          </c:cat>
          <c:val>
            <c:numRef>
              <c:f>Sheet1!$D$4:$D$18</c:f>
              <c:numCache>
                <c:formatCode>General</c:formatCode>
                <c:ptCount val="15"/>
                <c:pt idx="0">
                  <c:v>50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multiLvlStrRef>
              <c:f>Sheet2!$A$2:$B$20</c:f>
              <c:multiLvlStrCache>
                <c:ptCount val="19"/>
                <c:lvl>
                  <c:pt idx="0">
                    <c:v>AFGANISTAN</c:v>
                  </c:pt>
                  <c:pt idx="1">
                    <c:v>UNITED STATES</c:v>
                  </c:pt>
                  <c:pt idx="2">
                    <c:v>UNITED KINGDOM</c:v>
                  </c:pt>
                  <c:pt idx="3">
                    <c:v>SWITZERLAND</c:v>
                  </c:pt>
                  <c:pt idx="4">
                    <c:v>SWEDEN</c:v>
                  </c:pt>
                  <c:pt idx="5">
                    <c:v>NORWAY</c:v>
                  </c:pt>
                  <c:pt idx="6">
                    <c:v>NETHERLANDS</c:v>
                  </c:pt>
                  <c:pt idx="7">
                    <c:v>ITALY</c:v>
                  </c:pt>
                  <c:pt idx="8">
                    <c:v>GERMANY</c:v>
                  </c:pt>
                  <c:pt idx="9">
                    <c:v>FRANCE</c:v>
                  </c:pt>
                  <c:pt idx="10">
                    <c:v>CANADA</c:v>
                  </c:pt>
                  <c:pt idx="11">
                    <c:v>BELGIUM</c:v>
                  </c:pt>
                  <c:pt idx="12">
                    <c:v>BELGIUM</c:v>
                  </c:pt>
                  <c:pt idx="13">
                    <c:v>AUSTRIA</c:v>
                  </c:pt>
                  <c:pt idx="14">
                    <c:v>AUSTRALIA</c:v>
                  </c:pt>
                  <c:pt idx="15">
                    <c:v>CHINA</c:v>
                  </c:pt>
                  <c:pt idx="16">
                    <c:v>CHILE</c:v>
                  </c:pt>
                  <c:pt idx="17">
                    <c:v>PAKISTAN</c:v>
                  </c:pt>
                  <c:pt idx="18">
                    <c:v>INDIA</c:v>
                  </c:pt>
                </c:lvl>
                <c:lvl>
                  <c:pt idx="0">
                    <c:v>1982</c:v>
                  </c:pt>
                  <c:pt idx="1">
                    <c:v>1983</c:v>
                  </c:pt>
                  <c:pt idx="2">
                    <c:v>1984</c:v>
                  </c:pt>
                  <c:pt idx="3">
                    <c:v>1985</c:v>
                  </c:pt>
                  <c:pt idx="4">
                    <c:v>1986</c:v>
                  </c:pt>
                  <c:pt idx="5">
                    <c:v>1987</c:v>
                  </c:pt>
                  <c:pt idx="6">
                    <c:v>1988</c:v>
                  </c:pt>
                  <c:pt idx="7">
                    <c:v>1989</c:v>
                  </c:pt>
                  <c:pt idx="8">
                    <c:v>1990</c:v>
                  </c:pt>
                  <c:pt idx="9">
                    <c:v>1991</c:v>
                  </c:pt>
                  <c:pt idx="10">
                    <c:v>1992</c:v>
                  </c:pt>
                  <c:pt idx="11">
                    <c:v>1993</c:v>
                  </c:pt>
                  <c:pt idx="12">
                    <c:v>1994</c:v>
                  </c:pt>
                  <c:pt idx="13">
                    <c:v>1995</c:v>
                  </c:pt>
                  <c:pt idx="14">
                    <c:v>1996</c:v>
                  </c:pt>
                  <c:pt idx="15">
                    <c:v>1997</c:v>
                  </c:pt>
                  <c:pt idx="16">
                    <c:v>1998</c:v>
                  </c:pt>
                  <c:pt idx="17">
                    <c:v>1999</c:v>
                  </c:pt>
                  <c:pt idx="18">
                    <c:v>2000</c:v>
                  </c:pt>
                </c:lvl>
              </c:multiLvlStrCache>
            </c:multiLvlStrRef>
          </c:cat>
          <c:val>
            <c:numRef>
              <c:f>Sheet2!$C$2:$C$20</c:f>
              <c:numCache>
                <c:formatCode>General</c:formatCode>
                <c:ptCount val="19"/>
                <c:pt idx="0">
                  <c:v>165200</c:v>
                </c:pt>
                <c:pt idx="1">
                  <c:v>135600</c:v>
                </c:pt>
                <c:pt idx="2">
                  <c:v>124421</c:v>
                </c:pt>
                <c:pt idx="3">
                  <c:v>216546</c:v>
                </c:pt>
                <c:pt idx="4">
                  <c:v>165405</c:v>
                </c:pt>
                <c:pt idx="5">
                  <c:v>324684</c:v>
                </c:pt>
                <c:pt idx="6">
                  <c:v>564641</c:v>
                </c:pt>
                <c:pt idx="7">
                  <c:v>154151</c:v>
                </c:pt>
                <c:pt idx="8">
                  <c:v>228445</c:v>
                </c:pt>
                <c:pt idx="9">
                  <c:v>315464</c:v>
                </c:pt>
                <c:pt idx="10">
                  <c:v>314212</c:v>
                </c:pt>
                <c:pt idx="11">
                  <c:v>419115</c:v>
                </c:pt>
                <c:pt idx="12">
                  <c:v>141899</c:v>
                </c:pt>
                <c:pt idx="13">
                  <c:v>328792</c:v>
                </c:pt>
                <c:pt idx="14">
                  <c:v>154982</c:v>
                </c:pt>
                <c:pt idx="15">
                  <c:v>211654</c:v>
                </c:pt>
                <c:pt idx="16">
                  <c:v>131065</c:v>
                </c:pt>
                <c:pt idx="17">
                  <c:v>511655</c:v>
                </c:pt>
                <c:pt idx="18">
                  <c:v>596521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270080"/>
        <c:axId val="146271616"/>
      </c:barChart>
      <c:catAx>
        <c:axId val="146270080"/>
        <c:scaling>
          <c:orientation val="minMax"/>
        </c:scaling>
        <c:delete val="0"/>
        <c:axPos val="b"/>
        <c:majorTickMark val="out"/>
        <c:minorTickMark val="none"/>
        <c:tickLblPos val="nextTo"/>
        <c:crossAx val="146271616"/>
        <c:crosses val="autoZero"/>
        <c:auto val="1"/>
        <c:lblAlgn val="ctr"/>
        <c:lblOffset val="100"/>
        <c:noMultiLvlLbl val="0"/>
      </c:catAx>
      <c:valAx>
        <c:axId val="14627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270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SHIP MODE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strRef>
              <c:f>Sheet3!$C$2:$C$12</c:f>
              <c:strCache>
                <c:ptCount val="11"/>
                <c:pt idx="0">
                  <c:v>SAME DAY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  <c:pt idx="4">
                  <c:v>FIRST CLASS</c:v>
                </c:pt>
                <c:pt idx="5">
                  <c:v>SAME DAY</c:v>
                </c:pt>
                <c:pt idx="6">
                  <c:v>SECOND CLASS</c:v>
                </c:pt>
                <c:pt idx="7">
                  <c:v>FIRST CLASS</c:v>
                </c:pt>
                <c:pt idx="8">
                  <c:v>SECOND CLASS</c:v>
                </c:pt>
                <c:pt idx="9">
                  <c:v>SAME DAY</c:v>
                </c:pt>
                <c:pt idx="10">
                  <c:v>FIRST CLASS</c:v>
                </c:pt>
              </c:strCache>
            </c:strRef>
          </c:cat>
          <c:val>
            <c:numRef>
              <c:f>Sheet3!$E$2:$E$12</c:f>
              <c:numCache>
                <c:formatCode>General</c:formatCode>
                <c:ptCount val="11"/>
                <c:pt idx="0">
                  <c:v>2309.65</c:v>
                </c:pt>
                <c:pt idx="1">
                  <c:v>3709.395</c:v>
                </c:pt>
                <c:pt idx="2">
                  <c:v>5175.1710000000003</c:v>
                </c:pt>
                <c:pt idx="3">
                  <c:v>2892.51</c:v>
                </c:pt>
                <c:pt idx="4">
                  <c:v>2832.96</c:v>
                </c:pt>
                <c:pt idx="5">
                  <c:v>2862.6750000000002</c:v>
                </c:pt>
                <c:pt idx="6">
                  <c:v>1822.08</c:v>
                </c:pt>
                <c:pt idx="7">
                  <c:v>5244.84</c:v>
                </c:pt>
                <c:pt idx="8">
                  <c:v>5083.96</c:v>
                </c:pt>
                <c:pt idx="9">
                  <c:v>4297.6440000000002</c:v>
                </c:pt>
                <c:pt idx="10">
                  <c:v>4164.05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35072"/>
        <c:axId val="146036992"/>
      </c:lineChart>
      <c:catAx>
        <c:axId val="14603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SHIP MODE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146036992"/>
        <c:crosses val="autoZero"/>
        <c:auto val="1"/>
        <c:lblAlgn val="ctr"/>
        <c:lblOffset val="100"/>
        <c:noMultiLvlLbl val="0"/>
      </c:catAx>
      <c:valAx>
        <c:axId val="14603699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46035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OF COUNTRY BY SHIP MODE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Sheet4!$B$2:$B$15</c:f>
              <c:strCache>
                <c:ptCount val="14"/>
                <c:pt idx="0">
                  <c:v>USA</c:v>
                </c:pt>
                <c:pt idx="1">
                  <c:v>UKRAINE</c:v>
                </c:pt>
                <c:pt idx="2">
                  <c:v>AFGANISTAN</c:v>
                </c:pt>
                <c:pt idx="3">
                  <c:v>INDIA</c:v>
                </c:pt>
                <c:pt idx="4">
                  <c:v>GREENLAND</c:v>
                </c:pt>
                <c:pt idx="5">
                  <c:v>AUSTRALIA</c:v>
                </c:pt>
                <c:pt idx="6">
                  <c:v>AUSTRALIA</c:v>
                </c:pt>
                <c:pt idx="7">
                  <c:v>USA</c:v>
                </c:pt>
                <c:pt idx="8">
                  <c:v>USA</c:v>
                </c:pt>
                <c:pt idx="9">
                  <c:v>ITALY</c:v>
                </c:pt>
                <c:pt idx="10">
                  <c:v>NEWZELAND</c:v>
                </c:pt>
                <c:pt idx="11">
                  <c:v>BRAZIL</c:v>
                </c:pt>
                <c:pt idx="12">
                  <c:v>BRAZIL</c:v>
                </c:pt>
                <c:pt idx="13">
                  <c:v>INDIA</c:v>
                </c:pt>
              </c:strCache>
            </c:strRef>
          </c:cat>
          <c:val>
            <c:numRef>
              <c:f>Sheet4!$C$2:$C$15</c:f>
              <c:numCache>
                <c:formatCode>General</c:formatCode>
                <c:ptCount val="14"/>
                <c:pt idx="0">
                  <c:v>13999.96</c:v>
                </c:pt>
                <c:pt idx="1">
                  <c:v>4486.8599999999997</c:v>
                </c:pt>
                <c:pt idx="2">
                  <c:v>4624.1499999999996</c:v>
                </c:pt>
                <c:pt idx="3">
                  <c:v>4986.8599999999997</c:v>
                </c:pt>
                <c:pt idx="4">
                  <c:v>4000.9059999999999</c:v>
                </c:pt>
                <c:pt idx="5">
                  <c:v>3709.395</c:v>
                </c:pt>
                <c:pt idx="6">
                  <c:v>2862.6750000000002</c:v>
                </c:pt>
                <c:pt idx="7">
                  <c:v>4297.6440000000002</c:v>
                </c:pt>
                <c:pt idx="8">
                  <c:v>4456.1000000000004</c:v>
                </c:pt>
                <c:pt idx="9">
                  <c:v>7958.58</c:v>
                </c:pt>
                <c:pt idx="10">
                  <c:v>5244.84</c:v>
                </c:pt>
                <c:pt idx="11">
                  <c:v>4789.22</c:v>
                </c:pt>
                <c:pt idx="12">
                  <c:v>2221.8000000000002</c:v>
                </c:pt>
                <c:pt idx="13">
                  <c:v>1878.72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076416"/>
        <c:axId val="146078336"/>
      </c:lineChart>
      <c:catAx>
        <c:axId val="14607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</a:t>
                </a:r>
                <a:r>
                  <a:rPr lang="en-US" baseline="0"/>
                  <a:t> OF THE COUNTRY'S</a:t>
                </a:r>
                <a:endParaRPr lang="en-US"/>
              </a:p>
            </c:rich>
          </c:tx>
          <c:layout/>
          <c:overlay val="0"/>
        </c:title>
        <c:majorTickMark val="none"/>
        <c:minorTickMark val="none"/>
        <c:tickLblPos val="nextTo"/>
        <c:crossAx val="146078336"/>
        <c:crosses val="autoZero"/>
        <c:auto val="1"/>
        <c:lblAlgn val="ctr"/>
        <c:lblOffset val="100"/>
        <c:noMultiLvlLbl val="0"/>
      </c:catAx>
      <c:valAx>
        <c:axId val="146078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 IN DOLLAR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60764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250371</xdr:colOff>
      <xdr:row>3</xdr:row>
      <xdr:rowOff>76199</xdr:rowOff>
    </xdr:from>
    <xdr:to>
      <xdr:col>22</xdr:col>
      <xdr:colOff>130627</xdr:colOff>
      <xdr:row>29</xdr:row>
      <xdr:rowOff>97970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17929</xdr:colOff>
      <xdr:row>0</xdr:row>
      <xdr:rowOff>2</xdr:rowOff>
    </xdr:from>
    <xdr:to>
      <xdr:col>16</xdr:col>
      <xdr:colOff>600635</xdr:colOff>
      <xdr:row>22</xdr:row>
      <xdr:rowOff>170329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225137</xdr:colOff>
      <xdr:row>0</xdr:row>
      <xdr:rowOff>0</xdr:rowOff>
    </xdr:from>
    <xdr:to>
      <xdr:col>15</xdr:col>
      <xdr:colOff>379615</xdr:colOff>
      <xdr:row>16</xdr:row>
      <xdr:rowOff>49530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249282</xdr:colOff>
      <xdr:row>0</xdr:row>
      <xdr:rowOff>144236</xdr:rowOff>
    </xdr:from>
    <xdr:to>
      <xdr:col>16</xdr:col>
      <xdr:colOff>65313</xdr:colOff>
      <xdr:row>26</xdr:row>
      <xdr:rowOff>32656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20" totalsRowShown="0" headerRowDxfId="3">
  <autoFilter ref="A1:C20"/>
  <tableColumns count="3">
    <tableColumn id="1" name="YEAR" dataDxfId="2"/>
    <tableColumn id="2" name="COUNTRY" dataDxfId="1"/>
    <tableColumn id="3" name="SAL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5" totalsRowShown="0">
  <autoFilter ref="A1:C15"/>
  <tableColumns count="3">
    <tableColumn id="1" name="SHIP"/>
    <tableColumn id="2" name="COUNTRY"/>
    <tableColumn id="3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0"/>
  <sheetViews>
    <sheetView zoomScale="70" zoomScaleNormal="70" workbookViewId="0">
      <selection activeCell="E16" sqref="E16"/>
    </sheetView>
  </sheetViews>
  <sheetFormatPr defaultRowHeight="14.4" x14ac:dyDescent="0.3"/>
  <cols>
    <col min="2" max="2" width="19" customWidth="1"/>
    <col min="3" max="3" width="19.109375" customWidth="1"/>
    <col min="4" max="4" width="11.33203125" customWidth="1"/>
    <col min="5" max="5" width="15" customWidth="1"/>
  </cols>
  <sheetData>
    <row r="1" spans="1:5" x14ac:dyDescent="0.3">
      <c r="A1" s="6" t="s">
        <v>0</v>
      </c>
      <c r="B1" s="6"/>
      <c r="C1" s="6"/>
      <c r="D1" s="6"/>
      <c r="E1" s="6"/>
    </row>
    <row r="2" spans="1:5" x14ac:dyDescent="0.3">
      <c r="A2" s="6" t="s">
        <v>1</v>
      </c>
      <c r="B2" s="6"/>
      <c r="C2" s="6">
        <f>SUM(C4:C18)</f>
        <v>99421</v>
      </c>
      <c r="D2" s="6"/>
      <c r="E2" s="2"/>
    </row>
    <row r="3" spans="1:5" x14ac:dyDescent="0.3">
      <c r="A3" t="s">
        <v>2</v>
      </c>
      <c r="B3" t="s">
        <v>3</v>
      </c>
      <c r="C3" t="s">
        <v>4</v>
      </c>
      <c r="D3" t="s">
        <v>5</v>
      </c>
    </row>
    <row r="4" spans="1:5" x14ac:dyDescent="0.3">
      <c r="A4">
        <v>1</v>
      </c>
      <c r="B4" t="s">
        <v>6</v>
      </c>
      <c r="C4" s="3">
        <v>50145</v>
      </c>
      <c r="D4">
        <f>ROUND((C4/99421)*100,0)</f>
        <v>50</v>
      </c>
    </row>
    <row r="5" spans="1:5" x14ac:dyDescent="0.3">
      <c r="A5">
        <v>2</v>
      </c>
      <c r="B5" t="s">
        <v>7</v>
      </c>
      <c r="C5" s="3">
        <v>4756</v>
      </c>
      <c r="D5">
        <f t="shared" ref="D5:D18" si="0">ROUND((C5/99421)*100,0)</f>
        <v>5</v>
      </c>
    </row>
    <row r="6" spans="1:5" x14ac:dyDescent="0.3">
      <c r="A6">
        <v>3</v>
      </c>
      <c r="B6" t="s">
        <v>8</v>
      </c>
      <c r="C6" s="3">
        <v>2024</v>
      </c>
      <c r="D6">
        <f t="shared" si="0"/>
        <v>2</v>
      </c>
    </row>
    <row r="7" spans="1:5" x14ac:dyDescent="0.3">
      <c r="A7">
        <v>4</v>
      </c>
      <c r="B7" t="s">
        <v>9</v>
      </c>
      <c r="C7" s="3">
        <v>1283</v>
      </c>
      <c r="D7">
        <f t="shared" si="0"/>
        <v>1</v>
      </c>
    </row>
    <row r="8" spans="1:5" x14ac:dyDescent="0.3">
      <c r="A8">
        <v>5</v>
      </c>
      <c r="B8" t="s">
        <v>10</v>
      </c>
      <c r="C8" s="3">
        <v>8473</v>
      </c>
      <c r="D8">
        <f t="shared" si="0"/>
        <v>9</v>
      </c>
    </row>
    <row r="9" spans="1:5" x14ac:dyDescent="0.3">
      <c r="A9">
        <v>6</v>
      </c>
      <c r="B9" t="s">
        <v>11</v>
      </c>
      <c r="C9" s="3">
        <v>3316</v>
      </c>
      <c r="D9">
        <f t="shared" si="0"/>
        <v>3</v>
      </c>
    </row>
    <row r="10" spans="1:5" x14ac:dyDescent="0.3">
      <c r="A10">
        <v>7</v>
      </c>
      <c r="B10" t="s">
        <v>12</v>
      </c>
      <c r="C10" s="3">
        <v>905</v>
      </c>
      <c r="D10">
        <f t="shared" si="0"/>
        <v>1</v>
      </c>
    </row>
    <row r="11" spans="1:5" x14ac:dyDescent="0.3">
      <c r="A11">
        <v>8</v>
      </c>
      <c r="B11" t="s">
        <v>13</v>
      </c>
      <c r="C11" s="3">
        <v>3331</v>
      </c>
      <c r="D11">
        <f t="shared" si="0"/>
        <v>3</v>
      </c>
    </row>
    <row r="12" spans="1:5" x14ac:dyDescent="0.3">
      <c r="A12">
        <v>9</v>
      </c>
      <c r="B12" t="s">
        <v>14</v>
      </c>
      <c r="C12" s="3">
        <v>1368</v>
      </c>
      <c r="D12">
        <f t="shared" si="0"/>
        <v>1</v>
      </c>
    </row>
    <row r="13" spans="1:5" x14ac:dyDescent="0.3">
      <c r="A13">
        <v>10</v>
      </c>
      <c r="B13" t="s">
        <v>15</v>
      </c>
      <c r="C13" s="3">
        <v>3478</v>
      </c>
      <c r="D13">
        <f t="shared" si="0"/>
        <v>3</v>
      </c>
    </row>
    <row r="14" spans="1:5" x14ac:dyDescent="0.3">
      <c r="A14">
        <v>11</v>
      </c>
      <c r="B14" t="s">
        <v>16</v>
      </c>
      <c r="C14" s="3">
        <v>1151</v>
      </c>
      <c r="D14">
        <f t="shared" si="0"/>
        <v>1</v>
      </c>
    </row>
    <row r="15" spans="1:5" x14ac:dyDescent="0.3">
      <c r="A15">
        <v>12</v>
      </c>
      <c r="B15" t="s">
        <v>16</v>
      </c>
      <c r="C15" s="3">
        <v>1151</v>
      </c>
      <c r="D15">
        <f t="shared" si="0"/>
        <v>1</v>
      </c>
    </row>
    <row r="16" spans="1:5" x14ac:dyDescent="0.3">
      <c r="A16">
        <v>13</v>
      </c>
      <c r="B16" t="s">
        <v>17</v>
      </c>
      <c r="C16" s="3">
        <v>480</v>
      </c>
      <c r="D16">
        <f t="shared" si="0"/>
        <v>0</v>
      </c>
    </row>
    <row r="17" spans="1:4" x14ac:dyDescent="0.3">
      <c r="A17">
        <v>14</v>
      </c>
      <c r="B17" t="s">
        <v>18</v>
      </c>
      <c r="C17" s="3">
        <v>1060</v>
      </c>
      <c r="D17">
        <f t="shared" si="0"/>
        <v>1</v>
      </c>
    </row>
    <row r="18" spans="1:4" x14ac:dyDescent="0.3">
      <c r="A18">
        <v>15</v>
      </c>
      <c r="B18" t="s">
        <v>19</v>
      </c>
      <c r="C18" s="3">
        <v>16500</v>
      </c>
      <c r="D18">
        <f t="shared" si="0"/>
        <v>17</v>
      </c>
    </row>
    <row r="20" spans="1:4" x14ac:dyDescent="0.3">
      <c r="C20" s="3"/>
    </row>
  </sheetData>
  <mergeCells count="3">
    <mergeCell ref="A1:E1"/>
    <mergeCell ref="A2:B2"/>
    <mergeCell ref="C2:D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0"/>
  <sheetViews>
    <sheetView zoomScale="85" zoomScaleNormal="85" workbookViewId="0">
      <selection activeCell="D14" sqref="D14"/>
    </sheetView>
  </sheetViews>
  <sheetFormatPr defaultRowHeight="14.4" x14ac:dyDescent="0.3"/>
  <cols>
    <col min="1" max="1" width="11.88671875" customWidth="1"/>
    <col min="2" max="2" width="18.88671875" customWidth="1"/>
    <col min="3" max="3" width="13.21875" customWidth="1"/>
  </cols>
  <sheetData>
    <row r="1" spans="1:3" x14ac:dyDescent="0.3">
      <c r="A1" s="1" t="s">
        <v>20</v>
      </c>
      <c r="B1" s="1" t="s">
        <v>3</v>
      </c>
      <c r="C1" s="1" t="s">
        <v>4</v>
      </c>
    </row>
    <row r="2" spans="1:3" x14ac:dyDescent="0.3">
      <c r="A2" s="4">
        <v>1982</v>
      </c>
      <c r="B2" s="2" t="s">
        <v>21</v>
      </c>
      <c r="C2" s="2">
        <v>165200</v>
      </c>
    </row>
    <row r="3" spans="1:3" x14ac:dyDescent="0.3">
      <c r="A3" s="4">
        <v>1983</v>
      </c>
      <c r="B3" s="2" t="s">
        <v>6</v>
      </c>
      <c r="C3" s="2">
        <v>135600</v>
      </c>
    </row>
    <row r="4" spans="1:3" x14ac:dyDescent="0.3">
      <c r="A4" s="4">
        <v>1984</v>
      </c>
      <c r="B4" s="2" t="s">
        <v>7</v>
      </c>
      <c r="C4" s="2">
        <v>124421</v>
      </c>
    </row>
    <row r="5" spans="1:3" x14ac:dyDescent="0.3">
      <c r="A5" s="4">
        <v>1985</v>
      </c>
      <c r="B5" s="2" t="s">
        <v>8</v>
      </c>
      <c r="C5" s="2">
        <v>216546</v>
      </c>
    </row>
    <row r="6" spans="1:3" x14ac:dyDescent="0.3">
      <c r="A6" s="4">
        <v>1986</v>
      </c>
      <c r="B6" s="2" t="s">
        <v>9</v>
      </c>
      <c r="C6" s="2">
        <v>165405</v>
      </c>
    </row>
    <row r="7" spans="1:3" x14ac:dyDescent="0.3">
      <c r="A7" s="4">
        <v>1987</v>
      </c>
      <c r="B7" s="2" t="s">
        <v>10</v>
      </c>
      <c r="C7" s="2">
        <v>324684</v>
      </c>
    </row>
    <row r="8" spans="1:3" x14ac:dyDescent="0.3">
      <c r="A8" s="4">
        <v>1988</v>
      </c>
      <c r="B8" s="2" t="s">
        <v>11</v>
      </c>
      <c r="C8" s="2">
        <v>564641</v>
      </c>
    </row>
    <row r="9" spans="1:3" x14ac:dyDescent="0.3">
      <c r="A9" s="4">
        <v>1989</v>
      </c>
      <c r="B9" s="2" t="s">
        <v>12</v>
      </c>
      <c r="C9" s="2">
        <v>154151</v>
      </c>
    </row>
    <row r="10" spans="1:3" x14ac:dyDescent="0.3">
      <c r="A10" s="4">
        <v>1990</v>
      </c>
      <c r="B10" s="2" t="s">
        <v>13</v>
      </c>
      <c r="C10" s="2">
        <v>228445</v>
      </c>
    </row>
    <row r="11" spans="1:3" x14ac:dyDescent="0.3">
      <c r="A11" s="4">
        <v>1991</v>
      </c>
      <c r="B11" s="2" t="s">
        <v>14</v>
      </c>
      <c r="C11" s="2">
        <v>315464</v>
      </c>
    </row>
    <row r="12" spans="1:3" x14ac:dyDescent="0.3">
      <c r="A12" s="4">
        <v>1992</v>
      </c>
      <c r="B12" s="2" t="s">
        <v>15</v>
      </c>
      <c r="C12" s="2">
        <v>314212</v>
      </c>
    </row>
    <row r="13" spans="1:3" x14ac:dyDescent="0.3">
      <c r="A13" s="4">
        <v>1993</v>
      </c>
      <c r="B13" s="2" t="s">
        <v>16</v>
      </c>
      <c r="C13" s="2">
        <v>419115</v>
      </c>
    </row>
    <row r="14" spans="1:3" x14ac:dyDescent="0.3">
      <c r="A14" s="4">
        <v>1994</v>
      </c>
      <c r="B14" s="2" t="s">
        <v>16</v>
      </c>
      <c r="C14" s="2">
        <v>141899</v>
      </c>
    </row>
    <row r="15" spans="1:3" x14ac:dyDescent="0.3">
      <c r="A15" s="4">
        <v>1995</v>
      </c>
      <c r="B15" s="2" t="s">
        <v>17</v>
      </c>
      <c r="C15" s="2">
        <v>328792</v>
      </c>
    </row>
    <row r="16" spans="1:3" x14ac:dyDescent="0.3">
      <c r="A16" s="4">
        <v>1996</v>
      </c>
      <c r="B16" s="2" t="s">
        <v>18</v>
      </c>
      <c r="C16" s="2">
        <v>154982</v>
      </c>
    </row>
    <row r="17" spans="1:3" x14ac:dyDescent="0.3">
      <c r="A17" s="4">
        <v>1997</v>
      </c>
      <c r="B17" s="2" t="s">
        <v>19</v>
      </c>
      <c r="C17" s="2">
        <v>211654</v>
      </c>
    </row>
    <row r="18" spans="1:3" x14ac:dyDescent="0.3">
      <c r="A18" s="4">
        <v>1998</v>
      </c>
      <c r="B18" s="2" t="s">
        <v>24</v>
      </c>
      <c r="C18" s="2">
        <v>131065</v>
      </c>
    </row>
    <row r="19" spans="1:3" x14ac:dyDescent="0.3">
      <c r="A19" s="4">
        <v>1999</v>
      </c>
      <c r="B19" s="2" t="s">
        <v>23</v>
      </c>
      <c r="C19" s="2">
        <v>511655</v>
      </c>
    </row>
    <row r="20" spans="1:3" x14ac:dyDescent="0.3">
      <c r="A20" s="4">
        <v>2000</v>
      </c>
      <c r="B20" s="2" t="s">
        <v>22</v>
      </c>
      <c r="C20" s="2">
        <v>596521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2"/>
  <sheetViews>
    <sheetView zoomScale="70" zoomScaleNormal="70" workbookViewId="0">
      <selection activeCell="P5" sqref="P5"/>
    </sheetView>
  </sheetViews>
  <sheetFormatPr defaultRowHeight="14.4" x14ac:dyDescent="0.3"/>
  <cols>
    <col min="1" max="1" width="13.44140625" bestFit="1" customWidth="1"/>
    <col min="2" max="2" width="9.77734375" bestFit="1" customWidth="1"/>
    <col min="3" max="3" width="15.6640625" bestFit="1" customWidth="1"/>
    <col min="4" max="4" width="13" bestFit="1" customWidth="1"/>
    <col min="5" max="5" width="9" bestFit="1" customWidth="1"/>
    <col min="6" max="6" width="3.109375" bestFit="1" customWidth="1"/>
    <col min="7" max="7" width="5.21875" bestFit="1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3</v>
      </c>
      <c r="E1" t="s">
        <v>4</v>
      </c>
    </row>
    <row r="2" spans="1:5" x14ac:dyDescent="0.3">
      <c r="A2" t="s">
        <v>28</v>
      </c>
      <c r="B2" t="s">
        <v>29</v>
      </c>
      <c r="C2" t="s">
        <v>30</v>
      </c>
      <c r="D2" t="s">
        <v>22</v>
      </c>
      <c r="E2">
        <v>2309.65</v>
      </c>
    </row>
    <row r="3" spans="1:5" x14ac:dyDescent="0.3">
      <c r="A3" t="s">
        <v>31</v>
      </c>
      <c r="B3" t="s">
        <v>32</v>
      </c>
      <c r="C3" t="s">
        <v>33</v>
      </c>
      <c r="D3" t="s">
        <v>53</v>
      </c>
      <c r="E3">
        <v>3709.395</v>
      </c>
    </row>
    <row r="4" spans="1:5" x14ac:dyDescent="0.3">
      <c r="A4" t="s">
        <v>34</v>
      </c>
      <c r="B4" t="s">
        <v>43</v>
      </c>
      <c r="C4" t="s">
        <v>52</v>
      </c>
      <c r="D4" t="s">
        <v>18</v>
      </c>
      <c r="E4">
        <v>5175.1710000000003</v>
      </c>
    </row>
    <row r="5" spans="1:5" x14ac:dyDescent="0.3">
      <c r="A5" t="s">
        <v>35</v>
      </c>
      <c r="B5" t="s">
        <v>44</v>
      </c>
      <c r="C5" t="s">
        <v>30</v>
      </c>
      <c r="D5" t="s">
        <v>18</v>
      </c>
      <c r="E5">
        <v>2892.51</v>
      </c>
    </row>
    <row r="6" spans="1:5" x14ac:dyDescent="0.3">
      <c r="A6" t="s">
        <v>36</v>
      </c>
      <c r="B6" t="s">
        <v>45</v>
      </c>
      <c r="C6" t="s">
        <v>52</v>
      </c>
      <c r="D6" t="s">
        <v>13</v>
      </c>
      <c r="E6">
        <v>2832.96</v>
      </c>
    </row>
    <row r="7" spans="1:5" x14ac:dyDescent="0.3">
      <c r="A7" t="s">
        <v>37</v>
      </c>
      <c r="B7" t="s">
        <v>46</v>
      </c>
      <c r="C7" t="s">
        <v>30</v>
      </c>
      <c r="D7" t="s">
        <v>54</v>
      </c>
      <c r="E7">
        <v>2862.6750000000002</v>
      </c>
    </row>
    <row r="8" spans="1:5" x14ac:dyDescent="0.3">
      <c r="A8" t="s">
        <v>38</v>
      </c>
      <c r="B8" t="s">
        <v>47</v>
      </c>
      <c r="C8" t="s">
        <v>33</v>
      </c>
      <c r="D8" t="s">
        <v>18</v>
      </c>
      <c r="E8">
        <v>1822.08</v>
      </c>
    </row>
    <row r="9" spans="1:5" x14ac:dyDescent="0.3">
      <c r="A9" t="s">
        <v>39</v>
      </c>
      <c r="B9" t="s">
        <v>48</v>
      </c>
      <c r="C9" t="s">
        <v>52</v>
      </c>
      <c r="D9" t="s">
        <v>55</v>
      </c>
      <c r="E9">
        <v>5244.84</v>
      </c>
    </row>
    <row r="10" spans="1:5" x14ac:dyDescent="0.3">
      <c r="A10" t="s">
        <v>40</v>
      </c>
      <c r="B10" t="s">
        <v>49</v>
      </c>
      <c r="C10" t="s">
        <v>33</v>
      </c>
      <c r="D10" t="s">
        <v>55</v>
      </c>
      <c r="E10">
        <v>5083.96</v>
      </c>
    </row>
    <row r="11" spans="1:5" x14ac:dyDescent="0.3">
      <c r="A11" t="s">
        <v>41</v>
      </c>
      <c r="B11" t="s">
        <v>50</v>
      </c>
      <c r="C11" t="s">
        <v>30</v>
      </c>
      <c r="D11" t="s">
        <v>53</v>
      </c>
      <c r="E11">
        <v>4297.6440000000002</v>
      </c>
    </row>
    <row r="12" spans="1:5" x14ac:dyDescent="0.3">
      <c r="A12" t="s">
        <v>42</v>
      </c>
      <c r="B12" t="s">
        <v>51</v>
      </c>
      <c r="C12" t="s">
        <v>52</v>
      </c>
      <c r="D12" t="s">
        <v>53</v>
      </c>
      <c r="E12">
        <v>4164.05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15"/>
  <sheetViews>
    <sheetView zoomScale="70" zoomScaleNormal="70" workbookViewId="0">
      <selection activeCell="E36" sqref="E36"/>
    </sheetView>
  </sheetViews>
  <sheetFormatPr defaultRowHeight="14.4" x14ac:dyDescent="0.3"/>
  <cols>
    <col min="1" max="1" width="18.21875" bestFit="1" customWidth="1"/>
    <col min="2" max="2" width="14.6640625" bestFit="1" customWidth="1"/>
    <col min="3" max="3" width="11.5546875" bestFit="1" customWidth="1"/>
  </cols>
  <sheetData>
    <row r="1" spans="1:3" x14ac:dyDescent="0.3">
      <c r="A1" t="s">
        <v>56</v>
      </c>
      <c r="B1" t="s">
        <v>3</v>
      </c>
      <c r="C1" t="s">
        <v>4</v>
      </c>
    </row>
    <row r="2" spans="1:3" x14ac:dyDescent="0.3">
      <c r="A2" t="s">
        <v>57</v>
      </c>
      <c r="B2" t="s">
        <v>53</v>
      </c>
      <c r="C2">
        <v>13999.96</v>
      </c>
    </row>
    <row r="3" spans="1:3" x14ac:dyDescent="0.3">
      <c r="A3" t="s">
        <v>57</v>
      </c>
      <c r="B3" t="s">
        <v>59</v>
      </c>
      <c r="C3">
        <v>4486.8599999999997</v>
      </c>
    </row>
    <row r="4" spans="1:3" x14ac:dyDescent="0.3">
      <c r="A4" t="s">
        <v>57</v>
      </c>
      <c r="B4" t="s">
        <v>21</v>
      </c>
      <c r="C4">
        <v>4624.1499999999996</v>
      </c>
    </row>
    <row r="5" spans="1:3" x14ac:dyDescent="0.3">
      <c r="A5" t="s">
        <v>57</v>
      </c>
      <c r="B5" t="s">
        <v>22</v>
      </c>
      <c r="C5">
        <v>4986.8599999999997</v>
      </c>
    </row>
    <row r="6" spans="1:3" x14ac:dyDescent="0.3">
      <c r="A6" t="s">
        <v>57</v>
      </c>
      <c r="B6" t="s">
        <v>60</v>
      </c>
      <c r="C6">
        <v>4000.9059999999999</v>
      </c>
    </row>
    <row r="7" spans="1:3" x14ac:dyDescent="0.3">
      <c r="A7" t="s">
        <v>33</v>
      </c>
      <c r="B7" t="s">
        <v>18</v>
      </c>
      <c r="C7">
        <v>3709.395</v>
      </c>
    </row>
    <row r="8" spans="1:3" x14ac:dyDescent="0.3">
      <c r="A8" t="s">
        <v>33</v>
      </c>
      <c r="B8" t="s">
        <v>18</v>
      </c>
      <c r="C8">
        <v>2862.6750000000002</v>
      </c>
    </row>
    <row r="9" spans="1:3" x14ac:dyDescent="0.3">
      <c r="A9" t="s">
        <v>33</v>
      </c>
      <c r="B9" t="s">
        <v>53</v>
      </c>
      <c r="C9">
        <v>4297.6440000000002</v>
      </c>
    </row>
    <row r="10" spans="1:3" x14ac:dyDescent="0.3">
      <c r="A10" t="s">
        <v>33</v>
      </c>
      <c r="B10" t="s">
        <v>53</v>
      </c>
      <c r="C10">
        <v>4456.1000000000004</v>
      </c>
    </row>
    <row r="11" spans="1:3" x14ac:dyDescent="0.3">
      <c r="A11" t="s">
        <v>58</v>
      </c>
      <c r="B11" t="s">
        <v>12</v>
      </c>
      <c r="C11">
        <v>7958.58</v>
      </c>
    </row>
    <row r="12" spans="1:3" x14ac:dyDescent="0.3">
      <c r="A12" t="s">
        <v>58</v>
      </c>
      <c r="B12" t="s">
        <v>55</v>
      </c>
      <c r="C12">
        <v>5244.84</v>
      </c>
    </row>
    <row r="13" spans="1:3" x14ac:dyDescent="0.3">
      <c r="A13" t="s">
        <v>58</v>
      </c>
      <c r="B13" t="s">
        <v>61</v>
      </c>
      <c r="C13">
        <v>4789.22</v>
      </c>
    </row>
    <row r="14" spans="1:3" x14ac:dyDescent="0.3">
      <c r="A14" t="s">
        <v>30</v>
      </c>
      <c r="B14" t="s">
        <v>61</v>
      </c>
      <c r="C14">
        <v>2221.8000000000002</v>
      </c>
    </row>
    <row r="15" spans="1:3" x14ac:dyDescent="0.3">
      <c r="A15" t="s">
        <v>30</v>
      </c>
      <c r="B15" t="s">
        <v>22</v>
      </c>
      <c r="C15">
        <v>1878.72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2"/>
  <sheetViews>
    <sheetView zoomScale="85" zoomScaleNormal="85" workbookViewId="0">
      <selection activeCell="B2" sqref="B2:K12"/>
    </sheetView>
  </sheetViews>
  <sheetFormatPr defaultRowHeight="14.4" x14ac:dyDescent="0.3"/>
  <cols>
    <col min="1" max="1" width="13.21875" bestFit="1" customWidth="1"/>
    <col min="2" max="2" width="11.77734375" bestFit="1" customWidth="1"/>
    <col min="3" max="3" width="7.77734375" bestFit="1" customWidth="1"/>
    <col min="4" max="4" width="12.88671875" bestFit="1" customWidth="1"/>
    <col min="5" max="5" width="5.109375" bestFit="1" customWidth="1"/>
    <col min="6" max="6" width="11.5546875" bestFit="1" customWidth="1"/>
    <col min="7" max="7" width="5" bestFit="1" customWidth="1"/>
    <col min="8" max="8" width="12.6640625" bestFit="1" customWidth="1"/>
    <col min="9" max="9" width="6.44140625" bestFit="1" customWidth="1"/>
    <col min="10" max="10" width="6.6640625" bestFit="1" customWidth="1"/>
    <col min="11" max="11" width="8.33203125" bestFit="1" customWidth="1"/>
  </cols>
  <sheetData>
    <row r="1" spans="1:11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</row>
    <row r="2" spans="1:11" x14ac:dyDescent="0.3">
      <c r="A2" t="s">
        <v>22</v>
      </c>
      <c r="B2">
        <v>1999</v>
      </c>
      <c r="C2">
        <v>50</v>
      </c>
      <c r="D2">
        <v>900</v>
      </c>
      <c r="E2">
        <v>2500</v>
      </c>
      <c r="F2">
        <v>130</v>
      </c>
      <c r="G2">
        <v>1360</v>
      </c>
      <c r="H2">
        <v>60</v>
      </c>
      <c r="I2">
        <v>200</v>
      </c>
      <c r="J2">
        <v>160</v>
      </c>
      <c r="K2">
        <v>200</v>
      </c>
    </row>
    <row r="3" spans="1:11" x14ac:dyDescent="0.3">
      <c r="A3" t="s">
        <v>19</v>
      </c>
      <c r="B3">
        <v>500</v>
      </c>
      <c r="C3">
        <v>300</v>
      </c>
      <c r="D3">
        <v>600</v>
      </c>
      <c r="E3">
        <v>200</v>
      </c>
      <c r="F3">
        <v>350</v>
      </c>
      <c r="G3">
        <v>460</v>
      </c>
      <c r="H3">
        <v>120</v>
      </c>
      <c r="I3">
        <v>520</v>
      </c>
      <c r="J3">
        <v>240</v>
      </c>
      <c r="K3">
        <v>810</v>
      </c>
    </row>
    <row r="4" spans="1:11" x14ac:dyDescent="0.3">
      <c r="A4" t="s">
        <v>73</v>
      </c>
      <c r="B4">
        <v>200</v>
      </c>
      <c r="C4">
        <v>500</v>
      </c>
      <c r="D4">
        <v>400</v>
      </c>
      <c r="E4">
        <v>130</v>
      </c>
      <c r="F4">
        <v>640</v>
      </c>
      <c r="G4">
        <v>320</v>
      </c>
      <c r="H4">
        <v>520</v>
      </c>
      <c r="I4">
        <v>500</v>
      </c>
      <c r="J4">
        <v>120</v>
      </c>
      <c r="K4">
        <v>970</v>
      </c>
    </row>
    <row r="5" spans="1:11" x14ac:dyDescent="0.3">
      <c r="A5" t="s">
        <v>53</v>
      </c>
      <c r="B5">
        <v>800</v>
      </c>
      <c r="C5">
        <v>400</v>
      </c>
      <c r="D5">
        <v>320</v>
      </c>
      <c r="E5">
        <v>640</v>
      </c>
      <c r="F5">
        <v>240</v>
      </c>
      <c r="G5">
        <v>650</v>
      </c>
      <c r="H5">
        <v>420</v>
      </c>
      <c r="I5">
        <v>400</v>
      </c>
      <c r="J5">
        <v>210</v>
      </c>
      <c r="K5">
        <v>430</v>
      </c>
    </row>
    <row r="6" spans="1:11" x14ac:dyDescent="0.3">
      <c r="A6" t="s">
        <v>74</v>
      </c>
      <c r="B6">
        <v>600</v>
      </c>
      <c r="C6">
        <v>310</v>
      </c>
      <c r="D6">
        <v>520</v>
      </c>
      <c r="E6">
        <v>540</v>
      </c>
      <c r="F6">
        <v>640</v>
      </c>
      <c r="G6">
        <v>420</v>
      </c>
      <c r="H6">
        <v>120</v>
      </c>
      <c r="I6">
        <v>10</v>
      </c>
      <c r="J6">
        <v>320</v>
      </c>
      <c r="K6">
        <v>520</v>
      </c>
    </row>
    <row r="7" spans="1:11" x14ac:dyDescent="0.3">
      <c r="A7" t="s">
        <v>75</v>
      </c>
      <c r="B7">
        <v>300</v>
      </c>
      <c r="C7">
        <v>240</v>
      </c>
      <c r="D7">
        <v>410</v>
      </c>
      <c r="E7">
        <v>820</v>
      </c>
      <c r="F7">
        <v>520</v>
      </c>
      <c r="G7">
        <v>510</v>
      </c>
      <c r="H7">
        <v>320</v>
      </c>
      <c r="I7">
        <v>210</v>
      </c>
      <c r="J7">
        <v>450</v>
      </c>
      <c r="K7">
        <v>130</v>
      </c>
    </row>
    <row r="8" spans="1:11" x14ac:dyDescent="0.3">
      <c r="A8" t="s">
        <v>76</v>
      </c>
      <c r="B8">
        <v>250</v>
      </c>
      <c r="C8">
        <v>620</v>
      </c>
      <c r="D8">
        <v>920</v>
      </c>
      <c r="E8">
        <v>750</v>
      </c>
      <c r="F8">
        <v>430</v>
      </c>
      <c r="G8">
        <v>310</v>
      </c>
      <c r="H8">
        <v>120</v>
      </c>
      <c r="I8">
        <v>200</v>
      </c>
      <c r="J8">
        <v>160</v>
      </c>
      <c r="K8">
        <v>250</v>
      </c>
    </row>
    <row r="9" spans="1:11" x14ac:dyDescent="0.3">
      <c r="A9" t="s">
        <v>13</v>
      </c>
      <c r="B9">
        <v>1000</v>
      </c>
      <c r="C9">
        <v>520</v>
      </c>
      <c r="D9">
        <v>760</v>
      </c>
      <c r="E9">
        <v>640</v>
      </c>
      <c r="F9">
        <v>520</v>
      </c>
      <c r="G9">
        <v>450</v>
      </c>
      <c r="H9">
        <v>420</v>
      </c>
      <c r="I9">
        <v>450</v>
      </c>
      <c r="J9">
        <v>420</v>
      </c>
      <c r="K9">
        <v>160</v>
      </c>
    </row>
    <row r="10" spans="1:11" x14ac:dyDescent="0.3">
      <c r="A10" t="s">
        <v>59</v>
      </c>
      <c r="B10">
        <v>150</v>
      </c>
      <c r="C10">
        <v>400</v>
      </c>
      <c r="D10">
        <v>430</v>
      </c>
      <c r="E10">
        <v>640</v>
      </c>
      <c r="F10">
        <v>750</v>
      </c>
      <c r="G10">
        <v>820</v>
      </c>
      <c r="H10">
        <v>410</v>
      </c>
      <c r="I10">
        <v>860</v>
      </c>
      <c r="J10">
        <v>720</v>
      </c>
      <c r="K10">
        <v>120</v>
      </c>
    </row>
    <row r="11" spans="1:11" x14ac:dyDescent="0.3">
      <c r="A11" t="s">
        <v>77</v>
      </c>
      <c r="B11">
        <v>250</v>
      </c>
      <c r="C11">
        <v>605</v>
      </c>
      <c r="D11">
        <v>420</v>
      </c>
      <c r="E11">
        <v>650</v>
      </c>
      <c r="F11">
        <v>640</v>
      </c>
      <c r="G11">
        <v>730</v>
      </c>
      <c r="H11">
        <v>550</v>
      </c>
      <c r="I11">
        <v>720</v>
      </c>
      <c r="J11">
        <v>620</v>
      </c>
      <c r="K11">
        <v>130</v>
      </c>
    </row>
    <row r="12" spans="1:11" x14ac:dyDescent="0.3">
      <c r="A12" t="s">
        <v>78</v>
      </c>
      <c r="B12">
        <v>500</v>
      </c>
      <c r="C12">
        <v>400</v>
      </c>
      <c r="D12">
        <v>150</v>
      </c>
      <c r="E12">
        <v>450</v>
      </c>
      <c r="F12">
        <v>970</v>
      </c>
      <c r="G12">
        <v>150</v>
      </c>
      <c r="H12">
        <v>140</v>
      </c>
      <c r="I12">
        <v>320</v>
      </c>
      <c r="J12">
        <v>120</v>
      </c>
      <c r="K12">
        <v>500</v>
      </c>
    </row>
  </sheetData>
  <conditionalFormatting sqref="B2:K12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3"/>
  <sheetViews>
    <sheetView tabSelected="1" zoomScale="55" zoomScaleNormal="55" workbookViewId="0">
      <selection activeCell="A3" sqref="A3"/>
    </sheetView>
  </sheetViews>
  <sheetFormatPr defaultRowHeight="14.4" x14ac:dyDescent="0.3"/>
  <cols>
    <col min="1" max="1" width="15.6640625" bestFit="1" customWidth="1"/>
    <col min="2" max="2" width="18.44140625" bestFit="1" customWidth="1"/>
    <col min="3" max="3" width="9.5546875" bestFit="1" customWidth="1"/>
    <col min="4" max="4" width="5.5546875" bestFit="1" customWidth="1"/>
    <col min="5" max="5" width="16.6640625" bestFit="1" customWidth="1"/>
    <col min="6" max="6" width="24.109375" bestFit="1" customWidth="1"/>
    <col min="7" max="7" width="14.88671875" bestFit="1" customWidth="1"/>
    <col min="8" max="8" width="13.6640625" bestFit="1" customWidth="1"/>
    <col min="9" max="9" width="21.88671875" bestFit="1" customWidth="1"/>
    <col min="10" max="10" width="18.33203125" bestFit="1" customWidth="1"/>
    <col min="14" max="14" width="24.77734375" bestFit="1" customWidth="1"/>
  </cols>
  <sheetData>
    <row r="1" spans="1:10" x14ac:dyDescent="0.3">
      <c r="A1" s="6" t="s">
        <v>79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6" t="s">
        <v>212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</row>
    <row r="4" spans="1:10" x14ac:dyDescent="0.3">
      <c r="A4">
        <v>1</v>
      </c>
      <c r="B4" t="s">
        <v>90</v>
      </c>
      <c r="C4" t="s">
        <v>110</v>
      </c>
      <c r="D4">
        <v>26</v>
      </c>
      <c r="E4" s="5" t="s">
        <v>112</v>
      </c>
      <c r="F4" t="s">
        <v>122</v>
      </c>
      <c r="G4" t="s">
        <v>142</v>
      </c>
      <c r="H4">
        <v>2</v>
      </c>
      <c r="I4">
        <v>20000</v>
      </c>
      <c r="J4">
        <f>I4*12</f>
        <v>240000</v>
      </c>
    </row>
    <row r="5" spans="1:10" x14ac:dyDescent="0.3">
      <c r="A5">
        <v>2</v>
      </c>
      <c r="B5" t="s">
        <v>91</v>
      </c>
      <c r="C5" t="s">
        <v>110</v>
      </c>
      <c r="D5">
        <v>27</v>
      </c>
      <c r="E5" s="5" t="s">
        <v>113</v>
      </c>
      <c r="F5" t="s">
        <v>123</v>
      </c>
      <c r="G5" t="s">
        <v>143</v>
      </c>
      <c r="H5">
        <v>3</v>
      </c>
      <c r="I5">
        <v>30000</v>
      </c>
      <c r="J5">
        <f t="shared" ref="J5:J23" si="0">I5*12</f>
        <v>360000</v>
      </c>
    </row>
    <row r="6" spans="1:10" x14ac:dyDescent="0.3">
      <c r="A6">
        <v>3</v>
      </c>
      <c r="B6" t="s">
        <v>93</v>
      </c>
      <c r="C6" t="s">
        <v>110</v>
      </c>
      <c r="D6">
        <v>28</v>
      </c>
      <c r="E6" s="5" t="s">
        <v>114</v>
      </c>
      <c r="F6" t="s">
        <v>124</v>
      </c>
      <c r="G6" t="s">
        <v>144</v>
      </c>
      <c r="H6">
        <v>4</v>
      </c>
      <c r="I6">
        <v>40000</v>
      </c>
      <c r="J6">
        <f t="shared" si="0"/>
        <v>480000</v>
      </c>
    </row>
    <row r="7" spans="1:10" x14ac:dyDescent="0.3">
      <c r="A7">
        <v>4</v>
      </c>
      <c r="B7" t="s">
        <v>92</v>
      </c>
      <c r="C7" t="s">
        <v>110</v>
      </c>
      <c r="D7">
        <v>29</v>
      </c>
      <c r="E7" s="5" t="s">
        <v>115</v>
      </c>
      <c r="F7" t="s">
        <v>125</v>
      </c>
      <c r="G7" t="s">
        <v>145</v>
      </c>
      <c r="H7">
        <v>5</v>
      </c>
      <c r="I7">
        <v>50000</v>
      </c>
      <c r="J7">
        <f t="shared" si="0"/>
        <v>600000</v>
      </c>
    </row>
    <row r="8" spans="1:10" x14ac:dyDescent="0.3">
      <c r="A8">
        <v>5</v>
      </c>
      <c r="B8" t="s">
        <v>94</v>
      </c>
      <c r="C8" t="s">
        <v>110</v>
      </c>
      <c r="D8">
        <v>26</v>
      </c>
      <c r="E8" s="5" t="s">
        <v>116</v>
      </c>
      <c r="F8" t="s">
        <v>126</v>
      </c>
      <c r="G8" t="s">
        <v>146</v>
      </c>
      <c r="H8">
        <v>6</v>
      </c>
      <c r="I8">
        <v>60000</v>
      </c>
      <c r="J8">
        <f t="shared" si="0"/>
        <v>720000</v>
      </c>
    </row>
    <row r="9" spans="1:10" x14ac:dyDescent="0.3">
      <c r="A9">
        <v>6</v>
      </c>
      <c r="B9" t="s">
        <v>95</v>
      </c>
      <c r="C9" t="s">
        <v>110</v>
      </c>
      <c r="D9">
        <v>25</v>
      </c>
      <c r="E9" s="5" t="s">
        <v>117</v>
      </c>
      <c r="F9" t="s">
        <v>127</v>
      </c>
      <c r="G9" t="s">
        <v>147</v>
      </c>
      <c r="H9">
        <v>10</v>
      </c>
      <c r="I9">
        <v>70000</v>
      </c>
      <c r="J9">
        <f t="shared" si="0"/>
        <v>840000</v>
      </c>
    </row>
    <row r="10" spans="1:10" x14ac:dyDescent="0.3">
      <c r="A10">
        <v>7</v>
      </c>
      <c r="B10" t="s">
        <v>96</v>
      </c>
      <c r="C10" t="s">
        <v>111</v>
      </c>
      <c r="D10">
        <v>25</v>
      </c>
      <c r="E10" s="5" t="s">
        <v>118</v>
      </c>
      <c r="F10" t="s">
        <v>128</v>
      </c>
      <c r="G10" t="s">
        <v>148</v>
      </c>
      <c r="H10">
        <v>18</v>
      </c>
      <c r="I10">
        <v>20000</v>
      </c>
      <c r="J10">
        <f t="shared" si="0"/>
        <v>240000</v>
      </c>
    </row>
    <row r="11" spans="1:10" x14ac:dyDescent="0.3">
      <c r="A11">
        <v>8</v>
      </c>
      <c r="B11" t="s">
        <v>97</v>
      </c>
      <c r="C11" t="s">
        <v>111</v>
      </c>
      <c r="D11">
        <v>21</v>
      </c>
      <c r="E11" s="5" t="s">
        <v>119</v>
      </c>
      <c r="F11" t="s">
        <v>129</v>
      </c>
      <c r="G11" t="s">
        <v>149</v>
      </c>
      <c r="H11">
        <v>10</v>
      </c>
      <c r="I11">
        <v>30000</v>
      </c>
      <c r="J11">
        <f t="shared" si="0"/>
        <v>360000</v>
      </c>
    </row>
    <row r="12" spans="1:10" x14ac:dyDescent="0.3">
      <c r="A12">
        <v>9</v>
      </c>
      <c r="B12" t="s">
        <v>98</v>
      </c>
      <c r="C12" t="s">
        <v>110</v>
      </c>
      <c r="D12">
        <v>30</v>
      </c>
      <c r="E12" s="5" t="s">
        <v>120</v>
      </c>
      <c r="F12" t="s">
        <v>130</v>
      </c>
      <c r="G12" t="s">
        <v>143</v>
      </c>
      <c r="H12">
        <v>9</v>
      </c>
      <c r="I12">
        <v>50000</v>
      </c>
      <c r="J12">
        <f t="shared" si="0"/>
        <v>600000</v>
      </c>
    </row>
    <row r="13" spans="1:10" x14ac:dyDescent="0.3">
      <c r="A13">
        <v>10</v>
      </c>
      <c r="B13" t="s">
        <v>99</v>
      </c>
      <c r="C13" t="s">
        <v>110</v>
      </c>
      <c r="D13">
        <v>40</v>
      </c>
      <c r="E13" s="5" t="s">
        <v>115</v>
      </c>
      <c r="F13" t="s">
        <v>131</v>
      </c>
      <c r="G13" t="s">
        <v>142</v>
      </c>
      <c r="H13">
        <v>3</v>
      </c>
      <c r="I13">
        <v>40000</v>
      </c>
      <c r="J13">
        <f t="shared" si="0"/>
        <v>480000</v>
      </c>
    </row>
    <row r="14" spans="1:10" x14ac:dyDescent="0.3">
      <c r="A14">
        <v>11</v>
      </c>
      <c r="B14" t="s">
        <v>100</v>
      </c>
      <c r="C14" t="s">
        <v>111</v>
      </c>
      <c r="D14">
        <v>35</v>
      </c>
      <c r="E14" s="5" t="s">
        <v>114</v>
      </c>
      <c r="F14" t="s">
        <v>132</v>
      </c>
      <c r="G14" t="s">
        <v>144</v>
      </c>
      <c r="H14">
        <v>0</v>
      </c>
      <c r="I14">
        <v>80000</v>
      </c>
      <c r="J14">
        <f t="shared" si="0"/>
        <v>960000</v>
      </c>
    </row>
    <row r="15" spans="1:10" x14ac:dyDescent="0.3">
      <c r="A15">
        <v>12</v>
      </c>
      <c r="B15" t="s">
        <v>101</v>
      </c>
      <c r="C15" t="s">
        <v>110</v>
      </c>
      <c r="D15">
        <v>29</v>
      </c>
      <c r="E15" s="5" t="s">
        <v>117</v>
      </c>
      <c r="F15" t="s">
        <v>133</v>
      </c>
      <c r="G15" t="s">
        <v>146</v>
      </c>
      <c r="H15">
        <v>0</v>
      </c>
      <c r="I15">
        <v>20000</v>
      </c>
      <c r="J15">
        <f t="shared" si="0"/>
        <v>240000</v>
      </c>
    </row>
    <row r="16" spans="1:10" x14ac:dyDescent="0.3">
      <c r="A16">
        <v>13</v>
      </c>
      <c r="B16" t="s">
        <v>102</v>
      </c>
      <c r="C16" t="s">
        <v>110</v>
      </c>
      <c r="D16">
        <v>25</v>
      </c>
      <c r="E16" s="5" t="s">
        <v>119</v>
      </c>
      <c r="F16" t="s">
        <v>134</v>
      </c>
      <c r="G16" t="s">
        <v>147</v>
      </c>
      <c r="H16">
        <v>2</v>
      </c>
      <c r="I16">
        <v>30000</v>
      </c>
      <c r="J16">
        <f t="shared" si="0"/>
        <v>360000</v>
      </c>
    </row>
    <row r="17" spans="1:10" x14ac:dyDescent="0.3">
      <c r="A17">
        <v>14</v>
      </c>
      <c r="B17" t="s">
        <v>103</v>
      </c>
      <c r="C17" t="s">
        <v>110</v>
      </c>
      <c r="D17">
        <v>23</v>
      </c>
      <c r="E17" s="5" t="s">
        <v>118</v>
      </c>
      <c r="F17" t="s">
        <v>135</v>
      </c>
      <c r="G17" t="s">
        <v>145</v>
      </c>
      <c r="H17">
        <v>3</v>
      </c>
      <c r="I17">
        <v>40000</v>
      </c>
      <c r="J17">
        <f t="shared" si="0"/>
        <v>480000</v>
      </c>
    </row>
    <row r="18" spans="1:10" x14ac:dyDescent="0.3">
      <c r="A18">
        <v>15</v>
      </c>
      <c r="B18" t="s">
        <v>104</v>
      </c>
      <c r="C18" t="s">
        <v>111</v>
      </c>
      <c r="D18">
        <v>22</v>
      </c>
      <c r="E18" s="5" t="s">
        <v>121</v>
      </c>
      <c r="F18" t="s">
        <v>136</v>
      </c>
      <c r="G18" t="s">
        <v>145</v>
      </c>
      <c r="H18">
        <v>4</v>
      </c>
      <c r="I18">
        <v>50000</v>
      </c>
      <c r="J18">
        <f t="shared" si="0"/>
        <v>600000</v>
      </c>
    </row>
    <row r="19" spans="1:10" x14ac:dyDescent="0.3">
      <c r="A19">
        <v>16</v>
      </c>
      <c r="B19" t="s">
        <v>105</v>
      </c>
      <c r="C19" t="s">
        <v>110</v>
      </c>
      <c r="D19">
        <v>24</v>
      </c>
      <c r="E19" s="5" t="s">
        <v>112</v>
      </c>
      <c r="F19" t="s">
        <v>137</v>
      </c>
      <c r="G19" t="s">
        <v>146</v>
      </c>
      <c r="H19">
        <v>5</v>
      </c>
      <c r="I19">
        <v>70000</v>
      </c>
      <c r="J19">
        <f t="shared" si="0"/>
        <v>840000</v>
      </c>
    </row>
    <row r="20" spans="1:10" x14ac:dyDescent="0.3">
      <c r="A20">
        <v>17</v>
      </c>
      <c r="B20" t="s">
        <v>106</v>
      </c>
      <c r="C20" t="s">
        <v>110</v>
      </c>
      <c r="D20">
        <v>26</v>
      </c>
      <c r="E20" s="5" t="s">
        <v>114</v>
      </c>
      <c r="F20" t="s">
        <v>138</v>
      </c>
      <c r="G20" t="s">
        <v>143</v>
      </c>
      <c r="H20">
        <v>6</v>
      </c>
      <c r="I20">
        <v>80000</v>
      </c>
      <c r="J20">
        <f t="shared" si="0"/>
        <v>960000</v>
      </c>
    </row>
    <row r="21" spans="1:10" x14ac:dyDescent="0.3">
      <c r="A21">
        <v>18</v>
      </c>
      <c r="B21" t="s">
        <v>107</v>
      </c>
      <c r="C21" t="s">
        <v>110</v>
      </c>
      <c r="D21">
        <v>32</v>
      </c>
      <c r="E21" s="5" t="s">
        <v>120</v>
      </c>
      <c r="F21" t="s">
        <v>139</v>
      </c>
      <c r="G21" t="s">
        <v>142</v>
      </c>
      <c r="H21">
        <v>7</v>
      </c>
      <c r="I21">
        <v>40000</v>
      </c>
      <c r="J21">
        <f t="shared" si="0"/>
        <v>480000</v>
      </c>
    </row>
    <row r="22" spans="1:10" x14ac:dyDescent="0.3">
      <c r="A22">
        <v>19</v>
      </c>
      <c r="B22" t="s">
        <v>108</v>
      </c>
      <c r="C22" t="s">
        <v>110</v>
      </c>
      <c r="D22">
        <v>34</v>
      </c>
      <c r="E22" s="5" t="s">
        <v>117</v>
      </c>
      <c r="F22" t="s">
        <v>140</v>
      </c>
      <c r="G22" t="s">
        <v>142</v>
      </c>
      <c r="H22">
        <v>8</v>
      </c>
      <c r="I22">
        <v>80000</v>
      </c>
      <c r="J22">
        <f t="shared" si="0"/>
        <v>960000</v>
      </c>
    </row>
    <row r="23" spans="1:10" x14ac:dyDescent="0.3">
      <c r="A23">
        <v>20</v>
      </c>
      <c r="B23" t="s">
        <v>109</v>
      </c>
      <c r="C23" t="s">
        <v>111</v>
      </c>
      <c r="D23">
        <v>31</v>
      </c>
      <c r="E23" s="5" t="s">
        <v>113</v>
      </c>
      <c r="F23" t="s">
        <v>141</v>
      </c>
      <c r="G23" t="s">
        <v>146</v>
      </c>
      <c r="H23">
        <v>9</v>
      </c>
      <c r="I23">
        <v>20000</v>
      </c>
      <c r="J23">
        <f t="shared" si="0"/>
        <v>240000</v>
      </c>
    </row>
  </sheetData>
  <mergeCells count="2">
    <mergeCell ref="A1:J1"/>
    <mergeCell ref="A2:J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11"/>
  <sheetViews>
    <sheetView workbookViewId="0">
      <selection activeCell="I9" sqref="I9"/>
    </sheetView>
  </sheetViews>
  <sheetFormatPr defaultRowHeight="14.4" x14ac:dyDescent="0.3"/>
  <cols>
    <col min="1" max="1" width="11.5546875" style="7" bestFit="1" customWidth="1"/>
    <col min="2" max="2" width="10.33203125" bestFit="1" customWidth="1"/>
    <col min="3" max="3" width="16.109375" bestFit="1" customWidth="1"/>
    <col min="4" max="4" width="11.33203125" bestFit="1" customWidth="1"/>
    <col min="5" max="5" width="10.77734375" bestFit="1" customWidth="1"/>
    <col min="6" max="6" width="13.109375" bestFit="1" customWidth="1"/>
    <col min="7" max="7" width="11.88671875" bestFit="1" customWidth="1"/>
    <col min="8" max="8" width="11.33203125" bestFit="1" customWidth="1"/>
    <col min="9" max="9" width="10.33203125" bestFit="1" customWidth="1"/>
    <col min="10" max="10" width="14" bestFit="1" customWidth="1"/>
    <col min="11" max="11" width="5.77734375" bestFit="1" customWidth="1"/>
    <col min="12" max="12" width="9.6640625" bestFit="1" customWidth="1"/>
    <col min="13" max="13" width="6.88671875" bestFit="1" customWidth="1"/>
    <col min="14" max="14" width="13.6640625" bestFit="1" customWidth="1"/>
    <col min="15" max="15" width="15" bestFit="1" customWidth="1"/>
  </cols>
  <sheetData>
    <row r="1" spans="1:15" x14ac:dyDescent="0.3">
      <c r="A1" s="7" t="s">
        <v>150</v>
      </c>
      <c r="B1" t="s">
        <v>151</v>
      </c>
      <c r="C1" t="str">
        <f>UPPER("CUSTOMER NAME")</f>
        <v>CUSTOMER NAME</v>
      </c>
      <c r="D1" t="s">
        <v>164</v>
      </c>
      <c r="E1" t="s">
        <v>165</v>
      </c>
      <c r="F1" t="s">
        <v>166</v>
      </c>
      <c r="G1" t="s">
        <v>3</v>
      </c>
      <c r="H1" t="s">
        <v>167</v>
      </c>
      <c r="I1" t="s">
        <v>152</v>
      </c>
      <c r="J1" t="s">
        <v>153</v>
      </c>
      <c r="K1" t="s">
        <v>4</v>
      </c>
      <c r="L1" t="s">
        <v>154</v>
      </c>
      <c r="M1" t="s">
        <v>155</v>
      </c>
      <c r="N1" t="s">
        <v>156</v>
      </c>
      <c r="O1" t="s">
        <v>157</v>
      </c>
    </row>
    <row r="2" spans="1:15" x14ac:dyDescent="0.3">
      <c r="A2" s="7" t="s">
        <v>158</v>
      </c>
      <c r="B2" t="s">
        <v>158</v>
      </c>
      <c r="C2" t="s">
        <v>175</v>
      </c>
      <c r="D2" t="s">
        <v>186</v>
      </c>
      <c r="E2" t="s">
        <v>189</v>
      </c>
      <c r="F2" t="s">
        <v>189</v>
      </c>
      <c r="G2" t="s">
        <v>205</v>
      </c>
      <c r="H2" t="s">
        <v>28</v>
      </c>
      <c r="I2" t="s">
        <v>210</v>
      </c>
    </row>
    <row r="3" spans="1:15" x14ac:dyDescent="0.3">
      <c r="A3" s="7" t="s">
        <v>168</v>
      </c>
      <c r="B3" s="7">
        <v>41092</v>
      </c>
      <c r="C3" t="s">
        <v>176</v>
      </c>
      <c r="D3" t="s">
        <v>187</v>
      </c>
      <c r="E3" t="s">
        <v>190</v>
      </c>
      <c r="F3" t="s">
        <v>194</v>
      </c>
      <c r="G3" t="s">
        <v>206</v>
      </c>
      <c r="H3" t="s">
        <v>31</v>
      </c>
      <c r="I3" t="s">
        <v>211</v>
      </c>
    </row>
    <row r="4" spans="1:15" x14ac:dyDescent="0.3">
      <c r="A4" s="7" t="s">
        <v>159</v>
      </c>
      <c r="B4" t="s">
        <v>170</v>
      </c>
      <c r="C4" t="s">
        <v>177</v>
      </c>
      <c r="D4" t="s">
        <v>186</v>
      </c>
      <c r="E4" t="s">
        <v>191</v>
      </c>
      <c r="F4" t="s">
        <v>198</v>
      </c>
      <c r="G4" t="s">
        <v>206</v>
      </c>
      <c r="H4" t="s">
        <v>34</v>
      </c>
      <c r="I4" t="s">
        <v>210</v>
      </c>
    </row>
    <row r="5" spans="1:15" x14ac:dyDescent="0.3">
      <c r="A5" s="7" t="s">
        <v>160</v>
      </c>
      <c r="B5" t="s">
        <v>171</v>
      </c>
      <c r="C5" t="s">
        <v>179</v>
      </c>
      <c r="D5" t="s">
        <v>188</v>
      </c>
      <c r="E5" t="s">
        <v>192</v>
      </c>
      <c r="F5" t="s">
        <v>192</v>
      </c>
      <c r="G5" t="s">
        <v>207</v>
      </c>
      <c r="H5" t="s">
        <v>35</v>
      </c>
      <c r="I5" t="s">
        <v>210</v>
      </c>
    </row>
    <row r="6" spans="1:15" x14ac:dyDescent="0.3">
      <c r="A6" s="7" t="s">
        <v>178</v>
      </c>
      <c r="B6" s="7">
        <v>41436</v>
      </c>
      <c r="C6" t="s">
        <v>180</v>
      </c>
      <c r="D6" t="s">
        <v>186</v>
      </c>
      <c r="E6" t="s">
        <v>193</v>
      </c>
      <c r="F6" t="s">
        <v>193</v>
      </c>
      <c r="G6" t="s">
        <v>208</v>
      </c>
      <c r="H6" t="s">
        <v>36</v>
      </c>
      <c r="I6" t="s">
        <v>210</v>
      </c>
    </row>
    <row r="7" spans="1:15" x14ac:dyDescent="0.3">
      <c r="A7" s="7" t="s">
        <v>169</v>
      </c>
      <c r="B7" s="7">
        <v>41281</v>
      </c>
      <c r="C7" t="s">
        <v>181</v>
      </c>
      <c r="D7" t="s">
        <v>187</v>
      </c>
      <c r="E7" t="s">
        <v>199</v>
      </c>
      <c r="F7" t="s">
        <v>194</v>
      </c>
      <c r="G7" t="s">
        <v>206</v>
      </c>
      <c r="H7" t="s">
        <v>37</v>
      </c>
      <c r="I7" t="s">
        <v>210</v>
      </c>
    </row>
    <row r="8" spans="1:15" x14ac:dyDescent="0.3">
      <c r="A8" s="7">
        <v>40735</v>
      </c>
      <c r="B8" s="7">
        <v>40797</v>
      </c>
      <c r="C8" t="s">
        <v>182</v>
      </c>
      <c r="D8" t="s">
        <v>186</v>
      </c>
      <c r="E8" t="s">
        <v>200</v>
      </c>
      <c r="F8" t="s">
        <v>195</v>
      </c>
      <c r="G8" t="s">
        <v>209</v>
      </c>
      <c r="H8" t="s">
        <v>38</v>
      </c>
      <c r="I8" t="s">
        <v>210</v>
      </c>
    </row>
    <row r="9" spans="1:15" x14ac:dyDescent="0.3">
      <c r="A9" s="7" t="s">
        <v>161</v>
      </c>
      <c r="B9" t="s">
        <v>172</v>
      </c>
      <c r="C9" t="s">
        <v>183</v>
      </c>
      <c r="D9" t="s">
        <v>186</v>
      </c>
      <c r="E9" t="s">
        <v>201</v>
      </c>
      <c r="F9" t="s">
        <v>196</v>
      </c>
      <c r="G9" t="s">
        <v>209</v>
      </c>
      <c r="H9" t="s">
        <v>39</v>
      </c>
    </row>
    <row r="10" spans="1:15" x14ac:dyDescent="0.3">
      <c r="A10" s="7" t="s">
        <v>162</v>
      </c>
      <c r="B10" t="s">
        <v>173</v>
      </c>
      <c r="C10" t="s">
        <v>184</v>
      </c>
      <c r="D10" t="s">
        <v>187</v>
      </c>
      <c r="E10" t="s">
        <v>202</v>
      </c>
      <c r="F10" t="s">
        <v>197</v>
      </c>
      <c r="G10" t="s">
        <v>205</v>
      </c>
      <c r="H10" t="s">
        <v>40</v>
      </c>
    </row>
    <row r="11" spans="1:15" x14ac:dyDescent="0.3">
      <c r="A11" s="7" t="s">
        <v>163</v>
      </c>
      <c r="B11" t="s">
        <v>174</v>
      </c>
      <c r="C11" t="s">
        <v>185</v>
      </c>
      <c r="D11" t="s">
        <v>186</v>
      </c>
      <c r="E11" t="s">
        <v>203</v>
      </c>
      <c r="F11" t="s">
        <v>204</v>
      </c>
      <c r="G11" t="s">
        <v>205</v>
      </c>
      <c r="H1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CC-Lab55</dc:creator>
  <cp:lastModifiedBy>CC-Lab55</cp:lastModifiedBy>
  <dcterms:created xsi:type="dcterms:W3CDTF">2025-07-14T05:42:11Z</dcterms:created>
  <dcterms:modified xsi:type="dcterms:W3CDTF">2025-08-18T07:12:36Z</dcterms:modified>
</cp:coreProperties>
</file>